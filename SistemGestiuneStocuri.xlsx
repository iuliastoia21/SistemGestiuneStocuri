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C5EC47-6DF3-4BCC-98F9-4609D128A881}" xr6:coauthVersionLast="47" xr6:coauthVersionMax="47" xr10:uidLastSave="{00000000-0000-0000-0000-000000000000}"/>
  <bookViews>
    <workbookView xWindow="-110" yWindow="-110" windowWidth="19420" windowHeight="10300" firstSheet="1" activeTab="1" xr2:uid="{446D666E-FD9B-4688-8BB8-7227F5606F87}"/>
  </bookViews>
  <sheets>
    <sheet name="Distributia produselor" sheetId="9" r:id="rId1"/>
    <sheet name="Produse" sheetId="1" r:id="rId2"/>
    <sheet name="Intrari" sheetId="2" r:id="rId3"/>
    <sheet name="Iesiri" sheetId="3" r:id="rId4"/>
    <sheet name="Stoc disponibil pe produs" sheetId="7" r:id="rId5"/>
    <sheet name="Inventar" sheetId="4" r:id="rId6"/>
    <sheet name="Intrari vs Iesiri" sheetId="8" r:id="rId7"/>
    <sheet name="Dashboard" sheetId="5" r:id="rId8"/>
  </sheets>
  <calcPr calcId="191029"/>
  <pivotCaches>
    <pivotCache cacheId="0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8" l="1"/>
  <c r="B2" i="8"/>
  <c r="D2" i="5"/>
  <c r="E2" i="5"/>
  <c r="A2" i="5"/>
  <c r="F3" i="4"/>
  <c r="F2" i="4"/>
  <c r="D3" i="4"/>
  <c r="D2" i="4"/>
  <c r="E2" i="4" s="1"/>
  <c r="C3" i="4"/>
  <c r="C2" i="4"/>
  <c r="E3" i="4" l="1"/>
  <c r="G3" i="4" s="1"/>
  <c r="G2" i="4"/>
  <c r="C2" i="5" s="1"/>
  <c r="B2" i="5" l="1"/>
</calcChain>
</file>

<file path=xl/sharedStrings.xml><?xml version="1.0" encoding="utf-8"?>
<sst xmlns="http://schemas.openxmlformats.org/spreadsheetml/2006/main" count="79" uniqueCount="45">
  <si>
    <t>ID Produs</t>
  </si>
  <si>
    <t>Produs</t>
  </si>
  <si>
    <t>Categorie</t>
  </si>
  <si>
    <t>Unitate</t>
  </si>
  <si>
    <t>P001</t>
  </si>
  <si>
    <t>P002</t>
  </si>
  <si>
    <t>Electronice</t>
  </si>
  <si>
    <t>buc</t>
  </si>
  <si>
    <t>Data</t>
  </si>
  <si>
    <t>Cantitate</t>
  </si>
  <si>
    <t>Furnizor</t>
  </si>
  <si>
    <t>Lenovo ThinkPad E14</t>
  </si>
  <si>
    <t>Logitech MX Master 3</t>
  </si>
  <si>
    <t>Dell 24 Monitor</t>
  </si>
  <si>
    <t>HP ProBook 450</t>
  </si>
  <si>
    <t>Accesorii</t>
  </si>
  <si>
    <t>P003</t>
  </si>
  <si>
    <t>P004</t>
  </si>
  <si>
    <t>01.07.2026</t>
  </si>
  <si>
    <t>02.07.2026</t>
  </si>
  <si>
    <t>03.07.2026</t>
  </si>
  <si>
    <t>Tech Distribution</t>
  </si>
  <si>
    <t>IT Supply</t>
  </si>
  <si>
    <t>05.07.2026</t>
  </si>
  <si>
    <t>06.07.2026</t>
  </si>
  <si>
    <t>Nume Produs</t>
  </si>
  <si>
    <t>Intrari</t>
  </si>
  <si>
    <t>Iesiri</t>
  </si>
  <si>
    <t>Stoc</t>
  </si>
  <si>
    <t>Cost Unitar</t>
  </si>
  <si>
    <t>Total Produse</t>
  </si>
  <si>
    <t xml:space="preserve">Total Stoc </t>
  </si>
  <si>
    <t>Total Valoare Stoc</t>
  </si>
  <si>
    <t>Total Intrari</t>
  </si>
  <si>
    <t>Total Iesiri</t>
  </si>
  <si>
    <t>Valoare Stoc</t>
  </si>
  <si>
    <t>Row Labels</t>
  </si>
  <si>
    <t>Grand Total</t>
  </si>
  <si>
    <t>Sum of Stoc</t>
  </si>
  <si>
    <t>Stoc Minim</t>
  </si>
  <si>
    <t>Status</t>
  </si>
  <si>
    <t>OK</t>
  </si>
  <si>
    <t>Column1</t>
  </si>
  <si>
    <t>Column2</t>
  </si>
  <si>
    <t>Count of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</si>
</sst>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[SistemGestiuneStocuri.xlsx]Distributia produselor!PivotTable7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Distributia</a:t>
            </a:r>
            <a:r>
              <a:rPr lang="en-US" baseline="0"/>
              <a:t> produselor pe categorii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'Distributia produselor'!$B$3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'Distributia produselor'!$A$4:$A$6</c:f>
              <c:strCache>
                <c:ptCount val="2"/>
                <c:pt idx="0">
                  <c:v>Accesorii</c:v>
                </c:pt>
                <c:pt idx="1">
                  <c:v>Electronice</c:v>
                </c:pt>
              </c:strCache>
            </c:strRef>
          </c:cat>
          <c:val>
            <c:numRef>
              <c:f>'Distributia produselor'!$B$4:$B$6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7-43E5-B33A-8BB81C514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[SistemGestiuneStocuri.xlsx]Stoc disponibil pe produs!PivotTable2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</a:t>
            </a:r>
            <a:r>
              <a:rPr lang="en-US" baseline="0"/>
              <a:t> disponibil pe produs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080927384077"/>
          <c:y val="0.25865522018081066"/>
          <c:w val="0.7823309273840769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'Stoc disponibil pe produs'!$B$3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 disponibil pe produs'!$A$4:$A$6</c:f>
              <c:strCache>
                <c:ptCount val="2"/>
                <c:pt idx="0">
                  <c:v>HP ProBook 450</c:v>
                </c:pt>
                <c:pt idx="1">
                  <c:v>Lenovo ThinkPad E14</c:v>
                </c:pt>
              </c:strCache>
            </c:strRef>
          </c:cat>
          <c:val>
            <c:numRef>
              <c:f>'Stoc disponibil pe produs'!$B$4:$B$6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9-4548-A97A-12E10C62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41104"/>
        <c:axId val="137729584"/>
      </c:barChart>
      <c:catAx>
        <c:axId val="13774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9584"/>
        <c:crosses val="autoZero"/>
        <c:auto val="1"/>
        <c:lblAlgn val="ctr"/>
        <c:lblOffset val="100"/>
        <c:noMultiLvlLbl val="0"/>
      </c:catAx>
      <c:valAx>
        <c:axId val="1377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Intrari</a:t>
            </a:r>
            <a:r>
              <a:rPr lang="en-US" baseline="0"/>
              <a:t> vs Iesiri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'Intrari vs Iesiri'!$A$2</c:f>
              <c:strCache>
                <c:ptCount val="1"/>
                <c:pt idx="0">
                  <c:v>Intrari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'Intrari vs Iesiri'!$B$1</c:f>
              <c:strCache>
                <c:ptCount val="1"/>
                <c:pt idx="0">
                  <c:v>Column2</c:v>
                </c:pt>
              </c:strCache>
            </c:strRef>
          </c:cat>
          <c:val>
            <c:numRef>
              <c:f>'Intrari vs Iesiri'!$B$2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1-4AB9-A084-44417F9F235A}"/>
            </c:ext>
          </c:extLst>
        </c:ser>
        <c:ser>
          <c:idx val="1"/>
          <c:order val="1"/>
          <c:tx>
            <c:strRef>
              <c:f>'Intrari vs Iesiri'!$A$3</c:f>
              <c:strCache>
                <c:ptCount val="1"/>
                <c:pt idx="0">
                  <c:v>Iesiri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'Intrari vs Iesiri'!$B$1</c:f>
              <c:strCache>
                <c:ptCount val="1"/>
                <c:pt idx="0">
                  <c:v>Column2</c:v>
                </c:pt>
              </c:strCache>
            </c:strRef>
          </c:cat>
          <c:val>
            <c:numRef>
              <c:f>'Intrari vs Iesiri'!$B$3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1-4AB9-A084-44417F9F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993744"/>
        <c:axId val="605987984"/>
      </c:barChart>
      <c:catAx>
        <c:axId val="6059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7984"/>
        <c:crosses val="autoZero"/>
        <c:auto val="1"/>
        <c:lblAlgn val="ctr"/>
        <c:lblOffset val="100"/>
        <c:noMultiLvlLbl val="0"/>
      </c:catAx>
      <c:valAx>
        <c:axId val="6059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2</xdr:row>
      <xdr:rowOff>12700</xdr:rowOff>
    </xdr:from>
    <xdr:to>
      <xdr:col>10</xdr:col>
      <xdr:colOff>320675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C773A-73E0-69AC-CC61-DC2841112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6350</xdr:rowOff>
    </xdr:from>
    <xdr:to>
      <xdr:col>10</xdr:col>
      <xdr:colOff>314325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6D05F-24A8-2A9C-743F-DE7E9CF93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</xdr:colOff>
      <xdr:row>1</xdr:row>
      <xdr:rowOff>38100</xdr:rowOff>
    </xdr:from>
    <xdr:to>
      <xdr:col>10</xdr:col>
      <xdr:colOff>365125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32B12-BCCF-750E-DE23-4A099CDBD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3.674665162034" createdVersion="8" refreshedVersion="8" minRefreshableVersion="3" recordCount="2" xr:uid="{96AE6DB6-78E2-447F-A218-BE767D65C8BD}">
  <cacheSource type="worksheet">
    <worksheetSource name="Inventar"/>
  </cacheSource>
  <cacheFields count="7">
    <cacheField name="ID Produs" numFmtId="0">
      <sharedItems/>
    </cacheField>
    <cacheField name="Nume Produs" numFmtId="0">
      <sharedItems count="2">
        <s v="Lenovo ThinkPad E14"/>
        <s v="HP ProBook 450"/>
      </sharedItems>
    </cacheField>
    <cacheField name="Intrari" numFmtId="0">
      <sharedItems containsSemiMixedTypes="0" containsString="0" containsNumber="1" containsInteger="1" minValue="3" maxValue="5"/>
    </cacheField>
    <cacheField name="Iesiri" numFmtId="0">
      <sharedItems containsSemiMixedTypes="0" containsString="0" containsNumber="1" containsInteger="1" minValue="1" maxValue="2"/>
    </cacheField>
    <cacheField name="Stoc" numFmtId="0">
      <sharedItems containsSemiMixedTypes="0" containsString="0" containsNumber="1" containsInteger="1" minValue="2" maxValue="3"/>
    </cacheField>
    <cacheField name="Cost Unitar" numFmtId="0">
      <sharedItems containsSemiMixedTypes="0" containsString="0" containsNumber="1" containsInteger="1" minValue="400" maxValue="3500"/>
    </cacheField>
    <cacheField name="Valoare Stoc" numFmtId="0">
      <sharedItems containsSemiMixedTypes="0" containsString="0" containsNumber="1" containsInteger="1" minValue="800" maxValue="1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3.77385740741" createdVersion="8" refreshedVersion="8" minRefreshableVersion="3" recordCount="4" xr:uid="{35C72603-D782-49F9-8D0F-9E87D1D59FE9}">
  <cacheSource type="worksheet">
    <worksheetSource name="Produse"/>
  </cacheSource>
  <cacheFields count="5">
    <cacheField name="ID Produs" numFmtId="0">
      <sharedItems/>
    </cacheField>
    <cacheField name="Produs" numFmtId="0">
      <sharedItems/>
    </cacheField>
    <cacheField name="Categorie" numFmtId="0">
      <sharedItems count="2">
        <s v="Electronice"/>
        <s v="Accesorii"/>
      </sharedItems>
    </cacheField>
    <cacheField name="Unitate" numFmtId="0">
      <sharedItems/>
    </cacheField>
    <cacheField name="Cantitate" numFmtId="0">
      <sharedItems containsSemiMixedTypes="0" containsString="0" containsNumber="1" containsInteger="1" minValue="3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P001"/>
    <x v="0"/>
    <n v="5"/>
    <n v="2"/>
    <n v="3"/>
    <n v="3500"/>
    <n v="10500"/>
  </r>
  <r>
    <s v="P003"/>
    <x v="1"/>
    <n v="3"/>
    <n v="1"/>
    <n v="2"/>
    <n v="400"/>
    <n v="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P001"/>
    <s v="Lenovo ThinkPad E14"/>
    <x v="0"/>
    <s v="buc"/>
    <n v="5"/>
  </r>
  <r>
    <s v="P002"/>
    <s v="Dell 24 Monitor"/>
    <x v="0"/>
    <s v="buc"/>
    <n v="10"/>
  </r>
  <r>
    <s v="P003"/>
    <s v="HP ProBook 450"/>
    <x v="0"/>
    <s v="buc"/>
    <n v="3"/>
  </r>
  <r>
    <s v="P004"/>
    <s v="Logitech MX Master 3"/>
    <x v="1"/>
    <s v="buc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3CB80-8ABF-41E8-8B21-F40AE7A47502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5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ategorie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E1FBD-A32E-412A-9D38-135FC39449E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toc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90CB5-C435-46E4-ADDB-86768BF24F28}" name="Produse" displayName="Produse" ref="A1:E5" totalsRowShown="0" headerRowDxfId="29" dataDxfId="28">
  <autoFilter ref="A1:E5" xr:uid="{93990CB5-C435-46E4-ADDB-86768BF24F28}"/>
  <tableColumns count="5">
    <tableColumn id="1" xr3:uid="{112B129A-8E4B-47A7-AC0E-788052436D8C}" name="ID Produs" dataDxfId="27"/>
    <tableColumn id="2" xr3:uid="{62776CEE-47A3-403C-AC32-59BC2D37522E}" name="Produs" dataDxfId="26"/>
    <tableColumn id="3" xr3:uid="{63E3D3B8-ABA6-4EA0-A0CC-EE1F76B1D54C}" name="Categorie" dataDxfId="25"/>
    <tableColumn id="4" xr3:uid="{31A06F3F-E414-4C33-A4EA-741A54F78AAF}" name="Unitate" dataDxfId="24"/>
    <tableColumn id="5" xr3:uid="{E542A7A5-F3C4-4670-BB70-DFA6B0706B74}" name="Cantitat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CD016-B0E1-4C12-A5A3-82778CD200F8}" name="Intrari" displayName="Intrari" ref="A1:E4" totalsRowShown="0" headerRowDxfId="22">
  <autoFilter ref="A1:E4" xr:uid="{43ECD016-B0E1-4C12-A5A3-82778CD200F8}"/>
  <tableColumns count="5">
    <tableColumn id="1" xr3:uid="{97990AE0-15A5-4CC8-895C-834D3CDDFC90}" name="Data"/>
    <tableColumn id="2" xr3:uid="{A478E9F4-F4C4-4F43-8850-AC2CF887249E}" name="Produs"/>
    <tableColumn id="3" xr3:uid="{589B7ED1-E04E-405C-A48C-90FCBEA6A786}" name="Cantitate"/>
    <tableColumn id="4" xr3:uid="{1E7BB4EC-4049-476A-A14A-A3A3598BE124}" name="Cost Unitar"/>
    <tableColumn id="5" xr3:uid="{532C3B49-A168-4A57-81D9-C519EF3AC854}" name="Furniz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AB1E3-A94A-4078-B214-45FB5F4E7CDD}" name="Iesiri" displayName="Iesiri" ref="A1:D3" totalsRowShown="0" headerRowDxfId="21">
  <autoFilter ref="A1:D3" xr:uid="{6D8AB1E3-A94A-4078-B214-45FB5F4E7CDD}"/>
  <tableColumns count="4">
    <tableColumn id="1" xr3:uid="{C46859A6-254F-4508-A66C-436802D4C6C2}" name="Data"/>
    <tableColumn id="2" xr3:uid="{1BEA854D-4231-4FB1-A309-A434140459D6}" name="Produs"/>
    <tableColumn id="3" xr3:uid="{A2338C15-57B6-4E8A-BC75-8C305495173C}" name="Cantitate"/>
    <tableColumn id="4" xr3:uid="{76D443B0-6BC7-4BBA-9AB8-70C2DAFD1801}" name="Furniz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26261E-C81F-4930-8045-12552C30BA26}" name="Inventar" displayName="Inventar" ref="A1:I3" totalsRowShown="0" headerRowDxfId="20" dataDxfId="19">
  <autoFilter ref="A1:I3" xr:uid="{5C26261E-C81F-4930-8045-12552C30BA26}"/>
  <tableColumns count="9">
    <tableColumn id="1" xr3:uid="{8BC047C1-5E57-40E7-9ACA-AB1456794AD4}" name="ID Produs" dataDxfId="18"/>
    <tableColumn id="2" xr3:uid="{E276CEDF-8AF4-41AE-AF32-07DAD97C37A2}" name="Nume Produs" dataDxfId="17"/>
    <tableColumn id="3" xr3:uid="{F92E0729-BD6E-4092-90C6-CF24FBD0BA5D}" name="Intrari" dataDxfId="16"/>
    <tableColumn id="4" xr3:uid="{5BD03D94-B3E6-4D03-885A-EBFB14D601BA}" name="Iesiri" dataDxfId="15"/>
    <tableColumn id="5" xr3:uid="{3A2A680C-0855-4160-8017-6C29249DD1BF}" name="Stoc" dataDxfId="14"/>
    <tableColumn id="6" xr3:uid="{27E4B771-98F1-4FF7-928B-996DEB6C17E9}" name="Cost Unitar" dataDxfId="13"/>
    <tableColumn id="7" xr3:uid="{456E8D51-9B48-47A7-90E5-70143A0BE030}" name="Valoare Stoc" dataDxfId="12">
      <calculatedColumnFormula>Inventar[[#This Row],[Stoc]]*Inventar[[#This Row],[Cost Unitar]]</calculatedColumnFormula>
    </tableColumn>
    <tableColumn id="8" xr3:uid="{653D0112-366D-49AE-ACC2-6269B2280F3E}" name="Stoc Minim" dataDxfId="4"/>
    <tableColumn id="9" xr3:uid="{BF8E3A63-94D2-4723-96FD-FA447188B60C}" name="Statu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46190E-70C4-49FE-BCE5-A696F81B434D}" name="Table6" displayName="Table6" ref="A1:B3" totalsRowShown="0">
  <autoFilter ref="A1:B3" xr:uid="{EA46190E-70C4-49FE-BCE5-A696F81B434D}"/>
  <tableColumns count="2">
    <tableColumn id="1" xr3:uid="{31A27045-54A8-4EDD-8E19-97B41C31F469}" name="Column1"/>
    <tableColumn id="2" xr3:uid="{E1F79A9C-9ADF-44EA-B956-6A6DBA69ADDD}" name="Column2">
      <calculatedColumnFormula>SUM(Iesiri[Cantitate])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7E0003-EF3A-4767-B606-0EB57008B146}" name="Dashboard" displayName="Dashboard" ref="A1:E2" totalsRowShown="0" headerRowDxfId="11" dataDxfId="10">
  <autoFilter ref="A1:E2" xr:uid="{867E0003-EF3A-4767-B606-0EB57008B146}"/>
  <tableColumns count="5">
    <tableColumn id="1" xr3:uid="{847D7F62-2253-463E-AE5E-D183802F9B83}" name="Total Produse" dataDxfId="9">
      <calculatedColumnFormula>COUNTA(Produse[ID Produs])</calculatedColumnFormula>
    </tableColumn>
    <tableColumn id="2" xr3:uid="{20CA3B6B-F1D0-418E-9ACA-B5D7F32F69C6}" name="Total Stoc " dataDxfId="8">
      <calculatedColumnFormula>SUM(Inventar[Stoc])</calculatedColumnFormula>
    </tableColumn>
    <tableColumn id="3" xr3:uid="{8B5BD6F9-12B1-4B84-8BD2-C639E4F5E225}" name="Total Valoare Stoc" dataDxfId="7">
      <calculatedColumnFormula>SUM(Inventar[Valoare Stoc])</calculatedColumnFormula>
    </tableColumn>
    <tableColumn id="4" xr3:uid="{5A2597C2-189F-4E8F-B223-C54E67F9872E}" name="Total Intrari" dataDxfId="6">
      <calculatedColumnFormula>SUM(Intrari[Cantitate])</calculatedColumnFormula>
    </tableColumn>
    <tableColumn id="5" xr3:uid="{3E51BAF4-A7ED-4D3F-97FF-A878BF233CE5}" name="Total Iesiri" dataDxfId="5">
      <calculatedColumnFormula>SUM(Iesiri[Cantitate])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A58A-BCBC-4829-BB15-57D0420CCBB2}">
  <dimension ref="A3:B6"/>
  <sheetViews>
    <sheetView workbookViewId="0">
      <selection activeCell="L11" sqref="L11"/>
    </sheetView>
  </sheetViews>
  <sheetFormatPr defaultRowHeight="14.5" x14ac:dyDescent="0.35"/>
  <cols>
    <col min="1" max="1" width="12.453125" bestFit="1" customWidth="1"/>
    <col min="2" max="2" width="16.36328125" bestFit="1" customWidth="1"/>
  </cols>
  <sheetData>
    <row r="3" spans="1:2" x14ac:dyDescent="0.35">
      <c r="A3" s="2" t="s">
        <v>36</v>
      </c>
      <c r="B3" t="s">
        <v>44</v>
      </c>
    </row>
    <row r="4" spans="1:2" x14ac:dyDescent="0.35">
      <c r="A4" s="3" t="s">
        <v>15</v>
      </c>
      <c r="B4" s="4">
        <v>1</v>
      </c>
    </row>
    <row r="5" spans="1:2" x14ac:dyDescent="0.35">
      <c r="A5" s="3" t="s">
        <v>6</v>
      </c>
      <c r="B5" s="4">
        <v>3</v>
      </c>
    </row>
    <row r="6" spans="1:2" x14ac:dyDescent="0.35">
      <c r="A6" s="3" t="s">
        <v>37</v>
      </c>
      <c r="B6" s="4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E79B-29EA-4760-802E-0F77CEE239A7}">
  <dimension ref="A1:E5"/>
  <sheetViews>
    <sheetView tabSelected="1" workbookViewId="0">
      <selection activeCell="D13" sqref="D13"/>
    </sheetView>
  </sheetViews>
  <sheetFormatPr defaultRowHeight="14.5" x14ac:dyDescent="0.35"/>
  <cols>
    <col min="1" max="1" width="14.1796875" customWidth="1"/>
    <col min="2" max="2" width="21.36328125" customWidth="1"/>
    <col min="3" max="3" width="16.54296875" customWidth="1"/>
    <col min="4" max="4" width="12.1796875" customWidth="1"/>
    <col min="5" max="5" width="14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35">
      <c r="A2" s="1" t="s">
        <v>4</v>
      </c>
      <c r="B2" s="1" t="s">
        <v>11</v>
      </c>
      <c r="C2" s="1" t="s">
        <v>6</v>
      </c>
      <c r="D2" s="1" t="s">
        <v>7</v>
      </c>
      <c r="E2" s="1">
        <v>5</v>
      </c>
    </row>
    <row r="3" spans="1:5" x14ac:dyDescent="0.35">
      <c r="A3" s="1" t="s">
        <v>5</v>
      </c>
      <c r="B3" s="1" t="s">
        <v>13</v>
      </c>
      <c r="C3" s="1" t="s">
        <v>6</v>
      </c>
      <c r="D3" s="1" t="s">
        <v>7</v>
      </c>
      <c r="E3" s="1">
        <v>10</v>
      </c>
    </row>
    <row r="4" spans="1:5" x14ac:dyDescent="0.35">
      <c r="A4" s="1" t="s">
        <v>16</v>
      </c>
      <c r="B4" s="1" t="s">
        <v>14</v>
      </c>
      <c r="C4" s="1" t="s">
        <v>6</v>
      </c>
      <c r="D4" s="1" t="s">
        <v>7</v>
      </c>
      <c r="E4" s="1">
        <v>3</v>
      </c>
    </row>
    <row r="5" spans="1:5" x14ac:dyDescent="0.35">
      <c r="A5" s="1" t="s">
        <v>17</v>
      </c>
      <c r="B5" s="1" t="s">
        <v>12</v>
      </c>
      <c r="C5" s="1" t="s">
        <v>15</v>
      </c>
      <c r="D5" s="1" t="s">
        <v>7</v>
      </c>
      <c r="E5" s="1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8185-2958-4335-ABF4-4FDAB4CE9672}">
  <dimension ref="A1:E4"/>
  <sheetViews>
    <sheetView workbookViewId="0">
      <selection activeCell="D1" sqref="D1"/>
    </sheetView>
  </sheetViews>
  <sheetFormatPr defaultRowHeight="14.5" x14ac:dyDescent="0.35"/>
  <cols>
    <col min="1" max="1" width="14" customWidth="1"/>
    <col min="2" max="2" width="12" customWidth="1"/>
    <col min="3" max="3" width="13.453125" customWidth="1"/>
    <col min="4" max="4" width="15.6328125" customWidth="1"/>
    <col min="5" max="5" width="15.453125" customWidth="1"/>
  </cols>
  <sheetData>
    <row r="1" spans="1:5" x14ac:dyDescent="0.35">
      <c r="A1" s="1" t="s">
        <v>8</v>
      </c>
      <c r="B1" s="1" t="s">
        <v>1</v>
      </c>
      <c r="C1" s="1" t="s">
        <v>9</v>
      </c>
      <c r="D1" s="1" t="s">
        <v>29</v>
      </c>
      <c r="E1" s="1" t="s">
        <v>10</v>
      </c>
    </row>
    <row r="2" spans="1:5" x14ac:dyDescent="0.35">
      <c r="A2" s="1" t="s">
        <v>18</v>
      </c>
      <c r="B2" s="1" t="s">
        <v>4</v>
      </c>
      <c r="C2" s="1">
        <v>5</v>
      </c>
      <c r="D2" s="1">
        <v>3500</v>
      </c>
      <c r="E2" s="1" t="s">
        <v>21</v>
      </c>
    </row>
    <row r="3" spans="1:5" x14ac:dyDescent="0.35">
      <c r="A3" s="1" t="s">
        <v>19</v>
      </c>
      <c r="B3" s="1" t="s">
        <v>16</v>
      </c>
      <c r="C3" s="1">
        <v>3</v>
      </c>
      <c r="D3" s="1">
        <v>400</v>
      </c>
      <c r="E3" s="1" t="s">
        <v>22</v>
      </c>
    </row>
    <row r="4" spans="1:5" x14ac:dyDescent="0.35">
      <c r="A4" s="1" t="s">
        <v>20</v>
      </c>
      <c r="B4" s="1" t="s">
        <v>17</v>
      </c>
      <c r="C4" s="1">
        <v>10</v>
      </c>
      <c r="D4" s="1">
        <v>350</v>
      </c>
      <c r="E4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A337-3DC0-4A63-83F0-9CDF515C807C}">
  <dimension ref="A1:D3"/>
  <sheetViews>
    <sheetView workbookViewId="0">
      <selection activeCell="D9" sqref="D9"/>
    </sheetView>
  </sheetViews>
  <sheetFormatPr defaultRowHeight="14.5" x14ac:dyDescent="0.35"/>
  <cols>
    <col min="1" max="1" width="12.6328125" customWidth="1"/>
    <col min="2" max="2" width="13.36328125" customWidth="1"/>
    <col min="3" max="3" width="14.36328125" customWidth="1"/>
    <col min="4" max="4" width="15" customWidth="1"/>
  </cols>
  <sheetData>
    <row r="1" spans="1:4" x14ac:dyDescent="0.35">
      <c r="A1" s="1" t="s">
        <v>8</v>
      </c>
      <c r="B1" s="1" t="s">
        <v>1</v>
      </c>
      <c r="C1" s="1" t="s">
        <v>9</v>
      </c>
      <c r="D1" s="1" t="s">
        <v>10</v>
      </c>
    </row>
    <row r="2" spans="1:4" x14ac:dyDescent="0.35">
      <c r="A2" s="1" t="s">
        <v>23</v>
      </c>
      <c r="B2" s="1" t="s">
        <v>4</v>
      </c>
      <c r="C2" s="1">
        <v>2</v>
      </c>
      <c r="D2" s="1" t="s">
        <v>21</v>
      </c>
    </row>
    <row r="3" spans="1:4" x14ac:dyDescent="0.35">
      <c r="A3" s="1" t="s">
        <v>24</v>
      </c>
      <c r="B3" s="1" t="s">
        <v>16</v>
      </c>
      <c r="C3" s="1">
        <v>1</v>
      </c>
      <c r="D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1A08-4468-40A1-B1C4-A4B9DB9C0AE2}">
  <dimension ref="A3:B6"/>
  <sheetViews>
    <sheetView zoomScale="81" workbookViewId="0">
      <selection activeCell="O16" sqref="O16"/>
    </sheetView>
  </sheetViews>
  <sheetFormatPr defaultRowHeight="14.5" x14ac:dyDescent="0.35"/>
  <cols>
    <col min="1" max="1" width="17.81640625" bestFit="1" customWidth="1"/>
    <col min="2" max="2" width="10.7265625" bestFit="1" customWidth="1"/>
  </cols>
  <sheetData>
    <row r="3" spans="1:2" x14ac:dyDescent="0.35">
      <c r="A3" s="2" t="s">
        <v>36</v>
      </c>
      <c r="B3" t="s">
        <v>38</v>
      </c>
    </row>
    <row r="4" spans="1:2" x14ac:dyDescent="0.35">
      <c r="A4" s="3" t="s">
        <v>14</v>
      </c>
      <c r="B4">
        <v>2</v>
      </c>
    </row>
    <row r="5" spans="1:2" x14ac:dyDescent="0.35">
      <c r="A5" s="3" t="s">
        <v>11</v>
      </c>
      <c r="B5">
        <v>3</v>
      </c>
    </row>
    <row r="6" spans="1:2" x14ac:dyDescent="0.35">
      <c r="A6" s="3" t="s">
        <v>37</v>
      </c>
      <c r="B6">
        <v>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5AA9-11FC-4ABD-9600-99DFF75BECEF}">
  <dimension ref="A1:I3"/>
  <sheetViews>
    <sheetView workbookViewId="0">
      <selection activeCell="G15" sqref="G15"/>
    </sheetView>
  </sheetViews>
  <sheetFormatPr defaultRowHeight="14.5" x14ac:dyDescent="0.35"/>
  <cols>
    <col min="1" max="1" width="10.81640625" customWidth="1"/>
    <col min="2" max="2" width="18.7265625" customWidth="1"/>
    <col min="3" max="3" width="11.6328125" customWidth="1"/>
    <col min="4" max="4" width="11.453125" customWidth="1"/>
    <col min="5" max="5" width="11.08984375" customWidth="1"/>
    <col min="6" max="6" width="15.1796875" customWidth="1"/>
    <col min="7" max="7" width="19.36328125" customWidth="1"/>
    <col min="8" max="8" width="16.6328125" customWidth="1"/>
    <col min="9" max="9" width="15.81640625" customWidth="1"/>
  </cols>
  <sheetData>
    <row r="1" spans="1:9" x14ac:dyDescent="0.3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35</v>
      </c>
      <c r="H1" s="1" t="s">
        <v>39</v>
      </c>
      <c r="I1" s="1" t="s">
        <v>40</v>
      </c>
    </row>
    <row r="2" spans="1:9" x14ac:dyDescent="0.35">
      <c r="A2" s="1" t="s">
        <v>4</v>
      </c>
      <c r="B2" s="1" t="s">
        <v>11</v>
      </c>
      <c r="C2" s="1">
        <f>SUMIF(Intrari[Produs],Inventar[[#This Row],[ID Produs]],Intrari[Cantitate])</f>
        <v>5</v>
      </c>
      <c r="D2" s="1">
        <f>SUMIF(Iesiri[Produs],Inventar[[#This Row],[ID Produs]],Iesiri[Cantitate])</f>
        <v>2</v>
      </c>
      <c r="E2" s="1">
        <f>Inventar[[#This Row],[Intrari]]-Inventar[[#This Row],[Iesiri]]</f>
        <v>3</v>
      </c>
      <c r="F2" s="1">
        <f>_xlfn.XLOOKUP(Inventar[[#This Row],[ID Produs]],Intrari[Produs],Intrari[Cost Unitar])</f>
        <v>3500</v>
      </c>
      <c r="G2" s="1">
        <f>Inventar[[#This Row],[Stoc]]*Inventar[[#This Row],[Cost Unitar]]</f>
        <v>10500</v>
      </c>
      <c r="H2" s="1">
        <v>2</v>
      </c>
      <c r="I2" s="1" t="s">
        <v>41</v>
      </c>
    </row>
    <row r="3" spans="1:9" x14ac:dyDescent="0.35">
      <c r="A3" s="1" t="s">
        <v>16</v>
      </c>
      <c r="B3" s="1" t="s">
        <v>14</v>
      </c>
      <c r="C3" s="1">
        <f>SUMIF(Intrari[Produs],Inventar[[#This Row],[ID Produs]],Intrari[Cantitate])</f>
        <v>3</v>
      </c>
      <c r="D3" s="1">
        <f>SUMIF(Iesiri[Produs],Inventar[[#This Row],[ID Produs]],Iesiri[Cantitate])</f>
        <v>1</v>
      </c>
      <c r="E3" s="1">
        <f>Inventar[[#This Row],[Intrari]]-Inventar[[#This Row],[Iesiri]]</f>
        <v>2</v>
      </c>
      <c r="F3" s="1">
        <f>_xlfn.XLOOKUP(Inventar[[#This Row],[ID Produs]],Intrari[Produs],Intrari[Cost Unitar])</f>
        <v>400</v>
      </c>
      <c r="G3" s="1">
        <f>Inventar[[#This Row],[Stoc]]*Inventar[[#This Row],[Cost Unitar]]</f>
        <v>800</v>
      </c>
      <c r="H3" s="1">
        <v>2</v>
      </c>
      <c r="I3" s="1" t="s">
        <v>41</v>
      </c>
    </row>
  </sheetData>
  <conditionalFormatting sqref="I1">
    <cfRule type="containsText" dxfId="1" priority="2" operator="containsText" text="OK">
      <formula>NOT(ISERROR(SEARCH("OK",I1)))</formula>
    </cfRule>
  </conditionalFormatting>
  <conditionalFormatting sqref="I1:I1048576">
    <cfRule type="containsText" dxfId="0" priority="1" operator="containsText" text="OK">
      <formula>NOT(ISERROR(SEARCH("OK",I1)))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3BBB-55FC-4F01-943D-19A94484F788}">
  <dimension ref="A1:B3"/>
  <sheetViews>
    <sheetView workbookViewId="0">
      <selection activeCell="O8" sqref="O8"/>
    </sheetView>
  </sheetViews>
  <sheetFormatPr defaultRowHeight="14.5" x14ac:dyDescent="0.35"/>
  <cols>
    <col min="1" max="2" width="10.453125" customWidth="1"/>
  </cols>
  <sheetData>
    <row r="1" spans="1:2" x14ac:dyDescent="0.35">
      <c r="A1" t="s">
        <v>42</v>
      </c>
      <c r="B1" t="s">
        <v>43</v>
      </c>
    </row>
    <row r="2" spans="1:2" x14ac:dyDescent="0.35">
      <c r="A2" t="s">
        <v>26</v>
      </c>
      <c r="B2">
        <f>SUM(Intrari[Cantitate])</f>
        <v>18</v>
      </c>
    </row>
    <row r="3" spans="1:2" x14ac:dyDescent="0.35">
      <c r="A3" t="s">
        <v>27</v>
      </c>
      <c r="B3">
        <f>SUM(Iesiri[Cantitate])</f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F8EF-2F68-47AB-9C01-19C0D7046C8F}">
  <dimension ref="A1:E2"/>
  <sheetViews>
    <sheetView workbookViewId="0">
      <selection activeCell="E8" sqref="E8"/>
    </sheetView>
  </sheetViews>
  <sheetFormatPr defaultRowHeight="14.5" x14ac:dyDescent="0.35"/>
  <cols>
    <col min="1" max="1" width="19.90625" customWidth="1"/>
    <col min="2" max="2" width="16.36328125" customWidth="1"/>
    <col min="3" max="3" width="22.90625" customWidth="1"/>
    <col min="4" max="4" width="17.26953125" customWidth="1"/>
    <col min="5" max="5" width="20.7265625" customWidth="1"/>
  </cols>
  <sheetData>
    <row r="1" spans="1: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s="1">
        <f>COUNTA(Produse[ID Produs])</f>
        <v>4</v>
      </c>
      <c r="B2" s="1">
        <f>SUM(Inventar[Stoc])</f>
        <v>5</v>
      </c>
      <c r="C2" s="1">
        <f>SUM(Inventar[Valoare Stoc])</f>
        <v>11300</v>
      </c>
      <c r="D2" s="1">
        <f>SUM(Intrari[Cantitate])</f>
        <v>18</v>
      </c>
      <c r="E2" s="1">
        <f>SUM(Iesiri[Cantitate])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Distributia produselor</vt:lpstr>
      <vt:lpstr>Produse</vt:lpstr>
      <vt:lpstr>Intrari</vt:lpstr>
      <vt:lpstr>Iesiri</vt:lpstr>
      <vt:lpstr>Stoc disponibil pe produs</vt:lpstr>
      <vt:lpstr>Inventar</vt:lpstr>
      <vt:lpstr>Intrari vs Iesiri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IULIA-ELENA STOIA</dc:creator>
  <cp:lastModifiedBy>IULIA-ELENA STOIA</cp:lastModifiedBy>
  <dcterms:created xsi:type="dcterms:W3CDTF">2026-07-19T17:58:16Z</dcterms:created>
  <dcterms:modified xsi:type="dcterms:W3CDTF">2026-07-20T15:37:16Z</dcterms:modified>
</cp:coreProperties>
</file>